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scacilhastejo.sharepoint.com/sites/PSI12KGPSI20252026/Documentos Partilhados/General/PAP_Informações/PAP/Anexos/"/>
    </mc:Choice>
  </mc:AlternateContent>
  <xr:revisionPtr revIDLastSave="219" documentId="13_ncr:1_{14DBCB00-38B1-4CF4-8F08-565523C59A9D}" xr6:coauthVersionLast="47" xr6:coauthVersionMax="47" xr10:uidLastSave="{E65F81BD-6A47-4C5C-A4B5-EFBE82333DF0}"/>
  <bookViews>
    <workbookView xWindow="-108" yWindow="-108" windowWidth="23256" windowHeight="12456" xr2:uid="{430E87D6-0E72-468F-8B35-B140A7D5B5BD}"/>
  </bookViews>
  <sheets>
    <sheet name="Folha1" sheetId="1" r:id="rId1"/>
  </sheets>
  <definedNames>
    <definedName name="_xlnm.Print_Area" localSheetId="0">Folha1!$A$1:$U$31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6" i="1" l="1"/>
  <c r="K26" i="1"/>
  <c r="J26" i="1"/>
  <c r="I26" i="1"/>
  <c r="H26" i="1"/>
  <c r="G26" i="1"/>
  <c r="F26" i="1"/>
  <c r="E26" i="1"/>
  <c r="D26" i="1"/>
  <c r="C26" i="1"/>
  <c r="B26" i="1"/>
  <c r="P15" i="1"/>
  <c r="P12" i="1"/>
  <c r="O8" i="1" l="1"/>
  <c r="P8" i="1" s="1"/>
  <c r="O6" i="1"/>
  <c r="O7" i="1"/>
  <c r="P7" i="1" s="1"/>
  <c r="P6" i="1" l="1"/>
  <c r="P9" i="1" l="1"/>
  <c r="P17" i="1" l="1"/>
</calcChain>
</file>

<file path=xl/sharedStrings.xml><?xml version="1.0" encoding="utf-8"?>
<sst xmlns="http://schemas.openxmlformats.org/spreadsheetml/2006/main" count="34" uniqueCount="33">
  <si>
    <t>Curso Profissional Técnico de GPSI</t>
  </si>
  <si>
    <t>Apuramento das Notas| médias</t>
  </si>
  <si>
    <t>nome_aluno</t>
  </si>
  <si>
    <t xml:space="preserve"> C.SOCIO-CULTURAL</t>
  </si>
  <si>
    <t>C. CIENTíFICA</t>
  </si>
  <si>
    <t>C. TÉCNICA</t>
  </si>
  <si>
    <t>Média</t>
  </si>
  <si>
    <t>Módulos</t>
  </si>
  <si>
    <t>Port</t>
  </si>
  <si>
    <t>Inglês</t>
  </si>
  <si>
    <t>AI</t>
  </si>
  <si>
    <t>Ed_Fis</t>
  </si>
  <si>
    <t>TIC</t>
  </si>
  <si>
    <t>Mat</t>
  </si>
  <si>
    <t>FQ</t>
  </si>
  <si>
    <t>SO</t>
  </si>
  <si>
    <t>AC</t>
  </si>
  <si>
    <t>RD</t>
  </si>
  <si>
    <t>PSI</t>
  </si>
  <si>
    <t>FSC</t>
  </si>
  <si>
    <t>FC</t>
  </si>
  <si>
    <t>FT</t>
  </si>
  <si>
    <t>Total:</t>
  </si>
  <si>
    <t>Nota</t>
  </si>
  <si>
    <t>FCT</t>
  </si>
  <si>
    <t>PAP</t>
  </si>
  <si>
    <t>CFC</t>
  </si>
  <si>
    <t>Média por disciplina</t>
  </si>
  <si>
    <t>legenda:</t>
  </si>
  <si>
    <t>10º</t>
  </si>
  <si>
    <t>11º</t>
  </si>
  <si>
    <t>12º</t>
  </si>
  <si>
    <t>2025_2026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</si>
</sst>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Calibri"/>
      <family val="2"/>
    </font>
    <font>
      <sz val="8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 diagonalUp="1">
      <left/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 style="thin">
        <color theme="0" tint="-0.14996795556505021"/>
      </diagonal>
    </border>
    <border>
      <left/>
      <right/>
      <top style="thin">
        <color indexed="64"/>
      </top>
      <bottom/>
      <diagonal/>
    </border>
    <border diagonalUp="1">
      <left style="medium">
        <color auto="1"/>
      </left>
      <right/>
      <top/>
      <bottom style="thin">
        <color theme="0" tint="-0.14993743705557422"/>
      </bottom>
      <diagonal style="thin">
        <color theme="0" tint="-0.14996795556505021"/>
      </diagonal>
    </border>
    <border diagonalUp="1">
      <left/>
      <right/>
      <top/>
      <bottom style="thin">
        <color theme="0" tint="-0.14993743705557422"/>
      </bottom>
      <diagonal style="thin">
        <color theme="0" tint="-0.14996795556505021"/>
      </diagonal>
    </border>
    <border diagonalUp="1">
      <left style="medium">
        <color indexed="64"/>
      </left>
      <right/>
      <top style="thin">
        <color theme="0" tint="-0.14993743705557422"/>
      </top>
      <bottom style="thin">
        <color theme="0" tint="-0.14993743705557422"/>
      </bottom>
      <diagonal style="thin">
        <color theme="0" tint="-0.14996795556505021"/>
      </diagonal>
    </border>
    <border diagonalUp="1">
      <left/>
      <right/>
      <top style="thin">
        <color theme="0" tint="-0.14993743705557422"/>
      </top>
      <bottom style="thin">
        <color theme="0" tint="-0.14993743705557422"/>
      </bottom>
      <diagonal style="thin">
        <color theme="0" tint="-0.14996795556505021"/>
      </diagonal>
    </border>
    <border>
      <left/>
      <right style="medium">
        <color indexed="64"/>
      </right>
      <top/>
      <bottom style="thin">
        <color theme="0" tint="-0.14993743705557422"/>
      </bottom>
      <diagonal/>
    </border>
    <border>
      <left style="medium">
        <color auto="1"/>
      </left>
      <right/>
      <top/>
      <bottom style="medium">
        <color auto="1"/>
      </bottom>
      <diagonal/>
    </border>
    <border diagonalUp="1">
      <left style="medium">
        <color indexed="64"/>
      </left>
      <right/>
      <top/>
      <bottom style="medium">
        <color indexed="64"/>
      </bottom>
      <diagonal style="thin">
        <color theme="0" tint="-0.14996795556505021"/>
      </diagonal>
    </border>
    <border diagonalUp="1">
      <left/>
      <right/>
      <top/>
      <bottom style="medium">
        <color indexed="64"/>
      </bottom>
      <diagonal style="thin">
        <color theme="0" tint="-0.14996795556505021"/>
      </diagonal>
    </border>
    <border diagonalUp="1">
      <left/>
      <right/>
      <top style="thin">
        <color theme="0" tint="-0.14993743705557422"/>
      </top>
      <bottom style="medium">
        <color indexed="64"/>
      </bottom>
      <diagonal style="thin">
        <color theme="0" tint="-0.14996795556505021"/>
      </diagonal>
    </border>
    <border diagonalUp="1">
      <left/>
      <right style="medium">
        <color indexed="64"/>
      </right>
      <top style="thin">
        <color theme="0" tint="-0.14993743705557422"/>
      </top>
      <bottom style="medium">
        <color indexed="64"/>
      </bottom>
      <diagonal style="thin">
        <color theme="0" tint="-0.14996795556505021"/>
      </diagonal>
    </border>
    <border diagonalUp="1">
      <left style="medium">
        <color indexed="64"/>
      </left>
      <right/>
      <top style="thin">
        <color theme="0" tint="-0.14993743705557422"/>
      </top>
      <bottom style="medium">
        <color indexed="64"/>
      </bottom>
      <diagonal style="thin">
        <color theme="0" tint="-0.14996795556505021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7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164" fontId="6" fillId="6" borderId="8" xfId="0" applyNumberFormat="1" applyFont="1" applyFill="1" applyBorder="1" applyAlignment="1">
      <alignment horizontal="center" vertical="center"/>
    </xf>
    <xf numFmtId="0" fontId="10" fillId="9" borderId="0" xfId="0" applyFont="1" applyFill="1" applyAlignment="1" applyProtection="1">
      <alignment horizontal="center" vertical="center"/>
      <protection locked="0"/>
    </xf>
    <xf numFmtId="0" fontId="10" fillId="9" borderId="6" xfId="0" applyFont="1" applyFill="1" applyBorder="1" applyAlignment="1" applyProtection="1">
      <alignment horizontal="center" vertical="center"/>
      <protection locked="0"/>
    </xf>
    <xf numFmtId="164" fontId="8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right"/>
    </xf>
    <xf numFmtId="164" fontId="6" fillId="10" borderId="0" xfId="0" applyNumberFormat="1" applyFont="1" applyFill="1" applyAlignment="1">
      <alignment horizontal="center" vertical="center"/>
    </xf>
    <xf numFmtId="165" fontId="0" fillId="2" borderId="0" xfId="0" applyNumberFormat="1" applyFill="1"/>
    <xf numFmtId="0" fontId="10" fillId="11" borderId="12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9" borderId="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/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0" fillId="9" borderId="18" xfId="0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>
      <alignment horizontal="center" vertical="center"/>
    </xf>
    <xf numFmtId="0" fontId="0" fillId="2" borderId="0" xfId="0" quotePrefix="1" applyFill="1" applyAlignment="1">
      <alignment vertical="center"/>
    </xf>
    <xf numFmtId="0" fontId="9" fillId="2" borderId="0" xfId="0" applyFont="1" applyFill="1" applyAlignment="1">
      <alignment horizontal="center"/>
    </xf>
    <xf numFmtId="1" fontId="1" fillId="10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justify" vertical="center"/>
    </xf>
    <xf numFmtId="0" fontId="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justify" vertical="center"/>
    </xf>
    <xf numFmtId="0" fontId="10" fillId="1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2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0" fontId="10" fillId="11" borderId="24" xfId="0" applyFont="1" applyFill="1" applyBorder="1" applyAlignment="1">
      <alignment horizontal="center" vertical="center"/>
    </xf>
    <xf numFmtId="0" fontId="10" fillId="12" borderId="25" xfId="0" applyFont="1" applyFill="1" applyBorder="1" applyAlignment="1">
      <alignment horizontal="center" vertical="center"/>
    </xf>
    <xf numFmtId="10" fontId="13" fillId="13" borderId="5" xfId="0" applyNumberFormat="1" applyFont="1" applyFill="1" applyBorder="1" applyAlignment="1">
      <alignment horizontal="center" wrapText="1"/>
    </xf>
    <xf numFmtId="164" fontId="0" fillId="3" borderId="0" xfId="0" applyNumberFormat="1" applyFill="1" applyAlignment="1">
      <alignment horizontal="center" vertical="center"/>
    </xf>
    <xf numFmtId="0" fontId="9" fillId="2" borderId="9" xfId="0" applyFont="1" applyFill="1" applyBorder="1"/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4" fillId="2" borderId="13" xfId="0" applyFont="1" applyFill="1" applyBorder="1"/>
    <xf numFmtId="0" fontId="0" fillId="0" borderId="13" xfId="0" applyBorder="1"/>
    <xf numFmtId="0" fontId="15" fillId="0" borderId="13" xfId="0" applyFont="1" applyBorder="1"/>
    <xf numFmtId="0" fontId="16" fillId="2" borderId="13" xfId="0" applyFont="1" applyFill="1" applyBorder="1"/>
    <xf numFmtId="0" fontId="0" fillId="3" borderId="0" xfId="0" applyFill="1"/>
    <xf numFmtId="14" fontId="0" fillId="3" borderId="0" xfId="0" applyNumberFormat="1" applyFill="1"/>
    <xf numFmtId="14" fontId="0" fillId="2" borderId="0" xfId="0" applyNumberFormat="1" applyFill="1"/>
    <xf numFmtId="1" fontId="0" fillId="2" borderId="0" xfId="0" applyNumberFormat="1" applyFill="1"/>
    <xf numFmtId="0" fontId="4" fillId="2" borderId="0" xfId="0" applyFont="1" applyFill="1" applyAlignment="1">
      <alignment vertical="center" wrapText="1"/>
    </xf>
    <xf numFmtId="1" fontId="17" fillId="11" borderId="1" xfId="0" applyNumberFormat="1" applyFont="1" applyFill="1" applyBorder="1" applyAlignment="1">
      <alignment horizontal="center" vertical="center"/>
    </xf>
    <xf numFmtId="1" fontId="17" fillId="11" borderId="26" xfId="0" applyNumberFormat="1" applyFont="1" applyFill="1" applyBorder="1" applyAlignment="1">
      <alignment horizontal="center" vertical="center"/>
    </xf>
    <xf numFmtId="1" fontId="17" fillId="11" borderId="27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theme="4" tint="-0.24994659260841701"/>
      </font>
      <fill>
        <patternFill>
          <bgColor theme="4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4" tint="-0.24994659260841701"/>
      </font>
      <fill>
        <patternFill>
          <bgColor theme="4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theme="4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0</xdr:col>
      <xdr:colOff>583406</xdr:colOff>
      <xdr:row>3</xdr:row>
      <xdr:rowOff>25400</xdr:rowOff>
    </xdr:to>
    <xdr:pic>
      <xdr:nvPicPr>
        <xdr:cNvPr id="2" name="Imagem 1" descr="Uma imagem com texto, Tipo de letra, design&#10;&#10;Descrição gerada automaticamente">
          <a:extLst>
            <a:ext uri="{FF2B5EF4-FFF2-40B4-BE49-F238E27FC236}">
              <a16:creationId xmlns:a16="http://schemas.microsoft.com/office/drawing/2014/main" id="{288E22FB-03F0-4EE7-AA76-8B377CBB5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4" t="18459" r="15340" b="15659"/>
        <a:stretch/>
      </xdr:blipFill>
      <xdr:spPr>
        <a:xfrm>
          <a:off x="171450" y="69851"/>
          <a:ext cx="583406" cy="39369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17</xdr:row>
      <xdr:rowOff>190499</xdr:rowOff>
    </xdr:from>
    <xdr:to>
      <xdr:col>16</xdr:col>
      <xdr:colOff>23813</xdr:colOff>
      <xdr:row>27</xdr:row>
      <xdr:rowOff>12700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A966D3-0424-4406-B6E9-2EDD55BE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9163" y="3286124"/>
          <a:ext cx="2644775" cy="1695451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D377-D2C4-463E-ADF4-80258650375B}">
  <dimension ref="A1:AQ44"/>
  <sheetViews>
    <sheetView tabSelected="1" zoomScale="80" zoomScaleNormal="80" workbookViewId="0">
      <selection activeCell="L23" sqref="L23"/>
    </sheetView>
  </sheetViews>
  <sheetFormatPr defaultColWidth="8.88671875" defaultRowHeight="14.4" x14ac:dyDescent="0.3"/>
  <cols>
    <col min="2" max="2" width="8.109375" customWidth="1"/>
    <col min="3" max="3" width="8" customWidth="1"/>
    <col min="4" max="12" width="6.6640625" customWidth="1"/>
    <col min="13" max="13" width="1.6640625" style="1" customWidth="1"/>
    <col min="14" max="14" width="11.44140625" customWidth="1"/>
    <col min="15" max="15" width="12.109375" customWidth="1"/>
    <col min="16" max="16" width="12.6640625" customWidth="1"/>
    <col min="17" max="17" width="0.5546875" style="1" customWidth="1"/>
    <col min="18" max="20" width="0" style="1" hidden="1" customWidth="1"/>
    <col min="21" max="21" width="7.5546875" style="1" customWidth="1"/>
    <col min="22" max="43" width="8.88671875" style="1"/>
  </cols>
  <sheetData>
    <row r="1" spans="1:22" s="1" customFormat="1" ht="5.4" customHeight="1" x14ac:dyDescent="0.3"/>
    <row r="2" spans="1:22" ht="15" customHeight="1" x14ac:dyDescent="0.3">
      <c r="A2" s="81"/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N2" s="80" t="s">
        <v>1</v>
      </c>
      <c r="O2" s="80"/>
      <c r="P2" s="80"/>
      <c r="Q2" s="70"/>
      <c r="R2" s="70"/>
      <c r="S2" s="70"/>
      <c r="T2" s="70"/>
      <c r="U2" s="70"/>
    </row>
    <row r="3" spans="1:22" ht="15" customHeight="1" x14ac:dyDescent="0.3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N3" s="80"/>
      <c r="O3" s="80"/>
      <c r="P3" s="80"/>
      <c r="Q3" s="70"/>
      <c r="R3" s="70"/>
      <c r="S3" s="70"/>
      <c r="T3" s="70"/>
      <c r="U3" s="70"/>
    </row>
    <row r="4" spans="1:22" s="1" customFormat="1" ht="6" customHeight="1" thickBot="1" x14ac:dyDescent="0.35"/>
    <row r="5" spans="1:22" ht="18" customHeight="1" thickBot="1" x14ac:dyDescent="0.35">
      <c r="A5" s="2" t="s">
        <v>2</v>
      </c>
      <c r="B5" s="83" t="s">
        <v>3</v>
      </c>
      <c r="C5" s="84"/>
      <c r="D5" s="84"/>
      <c r="E5" s="84"/>
      <c r="F5" s="85"/>
      <c r="G5" s="86" t="s">
        <v>4</v>
      </c>
      <c r="H5" s="87"/>
      <c r="I5" s="88" t="s">
        <v>5</v>
      </c>
      <c r="J5" s="89"/>
      <c r="K5" s="89"/>
      <c r="L5" s="90"/>
      <c r="N5" s="1"/>
      <c r="O5" s="3" t="s">
        <v>6</v>
      </c>
      <c r="P5" s="4">
        <v>0.22</v>
      </c>
    </row>
    <row r="6" spans="1:22" ht="15" thickBot="1" x14ac:dyDescent="0.35">
      <c r="A6" s="5" t="s">
        <v>7</v>
      </c>
      <c r="B6" s="74" t="s">
        <v>8</v>
      </c>
      <c r="C6" s="75" t="s">
        <v>9</v>
      </c>
      <c r="D6" s="75" t="s">
        <v>10</v>
      </c>
      <c r="E6" s="75" t="s">
        <v>11</v>
      </c>
      <c r="F6" s="76" t="s">
        <v>12</v>
      </c>
      <c r="G6" s="74" t="s">
        <v>13</v>
      </c>
      <c r="H6" s="76" t="s">
        <v>14</v>
      </c>
      <c r="I6" s="77" t="s">
        <v>15</v>
      </c>
      <c r="J6" s="78" t="s">
        <v>16</v>
      </c>
      <c r="K6" s="78" t="s">
        <v>17</v>
      </c>
      <c r="L6" s="79" t="s">
        <v>18</v>
      </c>
      <c r="N6" s="6" t="s">
        <v>19</v>
      </c>
      <c r="O6" s="7" t="e">
        <f>ROUND(AVERAGE(B26:F26),0)</f>
        <v>#DIV/0!</v>
      </c>
      <c r="P6" s="8" t="e">
        <f>O6*$P$5</f>
        <v>#DIV/0!</v>
      </c>
    </row>
    <row r="7" spans="1:22" ht="18" customHeight="1" x14ac:dyDescent="0.3">
      <c r="A7" s="9">
        <v>1</v>
      </c>
      <c r="B7" s="10"/>
      <c r="C7" s="11"/>
      <c r="D7" s="11"/>
      <c r="E7" s="11"/>
      <c r="F7" s="11"/>
      <c r="G7" s="10"/>
      <c r="H7" s="12"/>
      <c r="I7" s="10"/>
      <c r="J7" s="11"/>
      <c r="K7" s="11"/>
      <c r="L7" s="12"/>
      <c r="N7" s="13" t="s">
        <v>20</v>
      </c>
      <c r="O7" s="14" t="e">
        <f>ROUND(AVERAGE(G26:H26),0)</f>
        <v>#DIV/0!</v>
      </c>
      <c r="P7" s="8" t="e">
        <f>O7*$P$5</f>
        <v>#DIV/0!</v>
      </c>
    </row>
    <row r="8" spans="1:22" x14ac:dyDescent="0.3">
      <c r="A8" s="15">
        <v>2</v>
      </c>
      <c r="B8" s="10"/>
      <c r="C8" s="11"/>
      <c r="D8" s="11"/>
      <c r="E8" s="11"/>
      <c r="F8" s="11"/>
      <c r="G8" s="10"/>
      <c r="H8" s="12"/>
      <c r="I8" s="10"/>
      <c r="J8" s="11"/>
      <c r="K8" s="11"/>
      <c r="L8" s="12"/>
      <c r="N8" s="16" t="s">
        <v>21</v>
      </c>
      <c r="O8" s="14" t="e">
        <f>ROUND(AVERAGE(I26:L26),0)</f>
        <v>#DIV/0!</v>
      </c>
      <c r="P8" s="8" t="e">
        <f>O8*$P$5</f>
        <v>#DIV/0!</v>
      </c>
    </row>
    <row r="9" spans="1:22" ht="15" customHeight="1" x14ac:dyDescent="0.3">
      <c r="A9" s="15">
        <v>3</v>
      </c>
      <c r="B9" s="10"/>
      <c r="C9" s="11"/>
      <c r="D9" s="17"/>
      <c r="E9" s="11"/>
      <c r="F9" s="11"/>
      <c r="G9" s="10"/>
      <c r="H9" s="12"/>
      <c r="I9" s="18"/>
      <c r="J9" s="11"/>
      <c r="K9" s="11"/>
      <c r="L9" s="12"/>
      <c r="N9" s="19"/>
      <c r="O9" s="20" t="s">
        <v>22</v>
      </c>
      <c r="P9" s="21" t="e">
        <f>SUM(P6:P8)</f>
        <v>#DIV/0!</v>
      </c>
      <c r="V9" s="22"/>
    </row>
    <row r="10" spans="1:22" ht="15" customHeight="1" x14ac:dyDescent="0.3">
      <c r="A10" s="15">
        <v>4</v>
      </c>
      <c r="B10" s="18"/>
      <c r="C10" s="11"/>
      <c r="D10" s="17"/>
      <c r="E10" s="11"/>
      <c r="F10" s="23"/>
      <c r="G10" s="10"/>
      <c r="H10" s="12"/>
      <c r="I10" s="18"/>
      <c r="J10" s="24"/>
      <c r="K10" s="17"/>
      <c r="L10" s="12"/>
      <c r="N10" s="1"/>
      <c r="O10" s="1"/>
    </row>
    <row r="11" spans="1:22" ht="16.350000000000001" customHeight="1" x14ac:dyDescent="0.3">
      <c r="A11" s="15">
        <v>5</v>
      </c>
      <c r="B11" s="18"/>
      <c r="C11" s="17"/>
      <c r="D11" s="25"/>
      <c r="E11" s="11"/>
      <c r="F11" s="23"/>
      <c r="G11" s="18"/>
      <c r="H11" s="26"/>
      <c r="I11" s="18"/>
      <c r="J11" s="25"/>
      <c r="K11" s="17"/>
      <c r="L11" s="12"/>
      <c r="N11" s="1"/>
      <c r="O11" s="3" t="s">
        <v>23</v>
      </c>
      <c r="P11" s="27">
        <v>0.11</v>
      </c>
      <c r="Q11" s="28"/>
    </row>
    <row r="12" spans="1:22" ht="15" customHeight="1" x14ac:dyDescent="0.3">
      <c r="A12" s="15">
        <v>6</v>
      </c>
      <c r="B12" s="18"/>
      <c r="C12" s="17"/>
      <c r="D12" s="25"/>
      <c r="E12" s="11"/>
      <c r="F12" s="23"/>
      <c r="G12" s="18"/>
      <c r="H12" s="26"/>
      <c r="I12" s="29"/>
      <c r="J12" s="30"/>
      <c r="K12" s="17"/>
      <c r="L12" s="12"/>
      <c r="N12" s="31" t="s">
        <v>24</v>
      </c>
      <c r="O12" s="32"/>
      <c r="P12" s="33">
        <f>O12*P11</f>
        <v>0</v>
      </c>
    </row>
    <row r="13" spans="1:22" ht="15" customHeight="1" x14ac:dyDescent="0.3">
      <c r="A13" s="15">
        <v>7</v>
      </c>
      <c r="B13" s="34"/>
      <c r="C13" s="17"/>
      <c r="D13" s="30"/>
      <c r="E13" s="17"/>
      <c r="F13" s="23"/>
      <c r="G13" s="18"/>
      <c r="H13" s="26"/>
      <c r="I13" s="35"/>
      <c r="J13" s="36"/>
      <c r="K13" s="25"/>
      <c r="L13" s="26"/>
      <c r="N13" s="1"/>
      <c r="O13" s="1"/>
      <c r="P13" s="1"/>
    </row>
    <row r="14" spans="1:22" ht="15" customHeight="1" x14ac:dyDescent="0.3">
      <c r="A14" s="15">
        <v>8</v>
      </c>
      <c r="B14" s="34"/>
      <c r="C14" s="25"/>
      <c r="D14" s="30"/>
      <c r="E14" s="17"/>
      <c r="F14" s="23"/>
      <c r="G14" s="18"/>
      <c r="H14" s="37"/>
      <c r="I14" s="35"/>
      <c r="J14" s="36"/>
      <c r="K14" s="25"/>
      <c r="L14" s="26"/>
      <c r="N14" s="1"/>
      <c r="O14" s="3" t="s">
        <v>23</v>
      </c>
      <c r="P14" s="27">
        <v>0.23</v>
      </c>
    </row>
    <row r="15" spans="1:22" ht="15" customHeight="1" x14ac:dyDescent="0.3">
      <c r="A15" s="15">
        <v>9</v>
      </c>
      <c r="B15" s="34"/>
      <c r="C15" s="25"/>
      <c r="D15" s="30"/>
      <c r="E15" s="17"/>
      <c r="F15" s="23"/>
      <c r="G15" s="34"/>
      <c r="H15" s="23"/>
      <c r="I15" s="35"/>
      <c r="J15" s="36"/>
      <c r="K15" s="30"/>
      <c r="L15" s="26"/>
      <c r="N15" s="38" t="s">
        <v>25</v>
      </c>
      <c r="O15" s="32"/>
      <c r="P15" s="33">
        <f>O15*P14</f>
        <v>0</v>
      </c>
    </row>
    <row r="16" spans="1:22" ht="15" customHeight="1" x14ac:dyDescent="0.3">
      <c r="A16" s="15">
        <v>10</v>
      </c>
      <c r="B16" s="29"/>
      <c r="C16" s="30"/>
      <c r="D16" s="30"/>
      <c r="E16" s="17"/>
      <c r="F16" s="23"/>
      <c r="G16" s="34"/>
      <c r="H16" s="23"/>
      <c r="I16" s="35"/>
      <c r="J16" s="36"/>
      <c r="K16" s="36"/>
      <c r="L16" s="26"/>
      <c r="N16" s="39"/>
      <c r="O16" s="1"/>
      <c r="P16" s="1"/>
    </row>
    <row r="17" spans="1:16" ht="15" customHeight="1" x14ac:dyDescent="0.3">
      <c r="A17" s="15">
        <v>11</v>
      </c>
      <c r="B17" s="29"/>
      <c r="C17" s="30"/>
      <c r="D17" s="30"/>
      <c r="E17" s="17"/>
      <c r="F17" s="23"/>
      <c r="G17" s="34"/>
      <c r="H17" s="23"/>
      <c r="I17" s="35"/>
      <c r="J17" s="36"/>
      <c r="K17" s="36"/>
      <c r="L17" s="26"/>
      <c r="N17" s="40"/>
      <c r="O17" s="20" t="s">
        <v>26</v>
      </c>
      <c r="P17" s="41" t="e">
        <f>ROUND((P9+P12+P15),0)</f>
        <v>#DIV/0!</v>
      </c>
    </row>
    <row r="18" spans="1:16" ht="15" customHeight="1" x14ac:dyDescent="0.3">
      <c r="A18" s="15">
        <v>12</v>
      </c>
      <c r="B18" s="29"/>
      <c r="C18" s="30"/>
      <c r="D18" s="30"/>
      <c r="E18" s="17"/>
      <c r="F18" s="23"/>
      <c r="G18" s="34"/>
      <c r="H18" s="23"/>
      <c r="I18" s="35"/>
      <c r="J18" s="36"/>
      <c r="K18" s="36"/>
      <c r="L18" s="26"/>
      <c r="N18" s="42"/>
      <c r="O18" s="43"/>
      <c r="P18" s="43"/>
    </row>
    <row r="19" spans="1:16" ht="15" customHeight="1" x14ac:dyDescent="0.3">
      <c r="A19" s="15">
        <v>13</v>
      </c>
      <c r="B19" s="29"/>
      <c r="C19" s="30"/>
      <c r="D19" s="30"/>
      <c r="E19" s="25"/>
      <c r="F19" s="23"/>
      <c r="G19" s="35"/>
      <c r="H19" s="23"/>
      <c r="I19" s="35"/>
      <c r="J19" s="36"/>
      <c r="K19" s="36"/>
      <c r="L19" s="26"/>
      <c r="N19" s="44"/>
      <c r="O19" s="45"/>
      <c r="P19" s="45"/>
    </row>
    <row r="20" spans="1:16" ht="15" customHeight="1" x14ac:dyDescent="0.3">
      <c r="A20" s="15">
        <v>14</v>
      </c>
      <c r="B20" s="29"/>
      <c r="C20" s="30"/>
      <c r="D20" s="30"/>
      <c r="E20" s="25"/>
      <c r="F20" s="23"/>
      <c r="G20" s="35"/>
      <c r="H20" s="23"/>
      <c r="I20" s="35"/>
      <c r="J20" s="36"/>
      <c r="K20" s="36"/>
      <c r="L20" s="26"/>
      <c r="N20" s="46"/>
      <c r="O20" s="1"/>
      <c r="P20" s="1"/>
    </row>
    <row r="21" spans="1:16" ht="15" customHeight="1" x14ac:dyDescent="0.3">
      <c r="A21" s="15">
        <v>15</v>
      </c>
      <c r="B21" s="29"/>
      <c r="C21" s="30"/>
      <c r="D21" s="30"/>
      <c r="E21" s="25"/>
      <c r="F21" s="23"/>
      <c r="G21" s="35"/>
      <c r="H21" s="23"/>
      <c r="I21" s="35"/>
      <c r="J21" s="36"/>
      <c r="K21" s="36"/>
      <c r="L21" s="47"/>
      <c r="N21" s="46"/>
      <c r="O21" s="40"/>
      <c r="P21" s="40"/>
    </row>
    <row r="22" spans="1:16" ht="15" customHeight="1" x14ac:dyDescent="0.3">
      <c r="A22" s="15">
        <v>16</v>
      </c>
      <c r="B22" s="29"/>
      <c r="C22" s="30"/>
      <c r="D22" s="30"/>
      <c r="E22" s="25"/>
      <c r="F22" s="23"/>
      <c r="G22" s="35"/>
      <c r="H22" s="23"/>
      <c r="I22" s="35"/>
      <c r="J22" s="36"/>
      <c r="K22" s="36"/>
      <c r="L22" s="47"/>
      <c r="N22" s="46"/>
      <c r="O22" s="45"/>
      <c r="P22" s="45"/>
    </row>
    <row r="23" spans="1:16" ht="15" customHeight="1" x14ac:dyDescent="0.3">
      <c r="A23" s="15">
        <v>17</v>
      </c>
      <c r="B23" s="29"/>
      <c r="C23" s="30"/>
      <c r="D23" s="30"/>
      <c r="E23" s="36"/>
      <c r="F23" s="23"/>
      <c r="G23" s="35"/>
      <c r="H23" s="23"/>
      <c r="I23" s="35"/>
      <c r="J23" s="36"/>
      <c r="K23" s="36"/>
      <c r="L23" s="47"/>
      <c r="N23" s="46"/>
      <c r="O23" s="48"/>
      <c r="P23" s="48"/>
    </row>
    <row r="24" spans="1:16" ht="15" customHeight="1" x14ac:dyDescent="0.3">
      <c r="A24" s="15">
        <v>18</v>
      </c>
      <c r="B24" s="29"/>
      <c r="C24" s="30"/>
      <c r="D24" s="30"/>
      <c r="E24" s="36"/>
      <c r="F24" s="23"/>
      <c r="G24" s="35"/>
      <c r="H24" s="23"/>
      <c r="I24" s="35"/>
      <c r="J24" s="36"/>
      <c r="K24" s="36"/>
      <c r="L24" s="47"/>
      <c r="N24" s="46"/>
      <c r="O24" s="1"/>
      <c r="P24" s="1"/>
    </row>
    <row r="25" spans="1:16" ht="15" thickBot="1" x14ac:dyDescent="0.35">
      <c r="A25" s="49">
        <v>19</v>
      </c>
      <c r="B25" s="50"/>
      <c r="C25" s="51"/>
      <c r="D25" s="51"/>
      <c r="E25" s="52"/>
      <c r="F25" s="53"/>
      <c r="G25" s="54"/>
      <c r="H25" s="53"/>
      <c r="I25" s="54"/>
      <c r="J25" s="52"/>
      <c r="K25" s="52"/>
      <c r="L25" s="55"/>
      <c r="N25" s="1"/>
      <c r="O25" s="1"/>
      <c r="P25" s="1"/>
    </row>
    <row r="26" spans="1:16" ht="22.8" thickBot="1" x14ac:dyDescent="0.35">
      <c r="A26" s="56" t="s">
        <v>27</v>
      </c>
      <c r="B26" s="71" t="e">
        <f t="shared" ref="B26:L26" si="0">ROUND(AVERAGE(B7:B25),0)</f>
        <v>#DIV/0!</v>
      </c>
      <c r="C26" s="72" t="e">
        <f t="shared" si="0"/>
        <v>#DIV/0!</v>
      </c>
      <c r="D26" s="72" t="e">
        <f t="shared" si="0"/>
        <v>#DIV/0!</v>
      </c>
      <c r="E26" s="72" t="e">
        <f t="shared" si="0"/>
        <v>#DIV/0!</v>
      </c>
      <c r="F26" s="73" t="e">
        <f t="shared" si="0"/>
        <v>#DIV/0!</v>
      </c>
      <c r="G26" s="71" t="e">
        <f t="shared" si="0"/>
        <v>#DIV/0!</v>
      </c>
      <c r="H26" s="73" t="e">
        <f t="shared" si="0"/>
        <v>#DIV/0!</v>
      </c>
      <c r="I26" s="71" t="e">
        <f t="shared" si="0"/>
        <v>#DIV/0!</v>
      </c>
      <c r="J26" s="72" t="e">
        <f t="shared" si="0"/>
        <v>#DIV/0!</v>
      </c>
      <c r="K26" s="72" t="e">
        <f t="shared" si="0"/>
        <v>#DIV/0!</v>
      </c>
      <c r="L26" s="73" t="e">
        <f t="shared" si="0"/>
        <v>#DIV/0!</v>
      </c>
      <c r="N26" s="1"/>
      <c r="O26" s="1"/>
      <c r="P26" s="1"/>
    </row>
    <row r="27" spans="1:16" ht="5.25" customHeight="1" x14ac:dyDescent="0.3">
      <c r="A27" s="15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N27" s="1"/>
      <c r="O27" s="1"/>
      <c r="P27" s="1"/>
    </row>
    <row r="28" spans="1:16" x14ac:dyDescent="0.3">
      <c r="A28" s="58" t="s">
        <v>28</v>
      </c>
      <c r="B28" s="59" t="s">
        <v>29</v>
      </c>
      <c r="C28" s="60" t="s">
        <v>30</v>
      </c>
      <c r="D28" s="61" t="s">
        <v>31</v>
      </c>
      <c r="E28" s="62"/>
      <c r="F28" s="63"/>
      <c r="G28" s="64"/>
      <c r="H28" s="63"/>
      <c r="J28" s="65"/>
      <c r="K28" s="63"/>
      <c r="N28" s="1"/>
      <c r="O28" s="1"/>
      <c r="P28" s="1"/>
    </row>
    <row r="29" spans="1:16" ht="7.5" customHeight="1" x14ac:dyDescent="0.3">
      <c r="A29" s="66"/>
      <c r="B29" s="66"/>
      <c r="C29" s="66"/>
      <c r="D29" s="66"/>
      <c r="E29" s="66"/>
      <c r="F29" s="66"/>
      <c r="G29" s="66"/>
      <c r="H29" s="67"/>
      <c r="I29" s="67"/>
      <c r="J29" s="67"/>
      <c r="K29" s="66"/>
      <c r="L29" s="66"/>
      <c r="M29" s="66"/>
      <c r="N29" s="66"/>
      <c r="O29" s="66"/>
      <c r="P29" s="66"/>
    </row>
    <row r="30" spans="1:16" s="1" customFormat="1" x14ac:dyDescent="0.3">
      <c r="C30" s="68"/>
      <c r="D30" s="68"/>
      <c r="E30" s="68"/>
      <c r="F30" s="68"/>
      <c r="G30" s="68"/>
      <c r="H30" s="68"/>
      <c r="I30" s="68"/>
      <c r="J30" s="68"/>
      <c r="P30" s="20" t="s">
        <v>32</v>
      </c>
    </row>
    <row r="31" spans="1:16" s="1" customFormat="1" x14ac:dyDescent="0.3">
      <c r="I31" s="68"/>
      <c r="J31" s="68"/>
    </row>
    <row r="32" spans="1:16" s="1" customFormat="1" x14ac:dyDescent="0.3">
      <c r="I32" s="68"/>
      <c r="J32" s="69"/>
    </row>
    <row r="33" spans="9:10" s="1" customFormat="1" x14ac:dyDescent="0.3"/>
    <row r="34" spans="9:10" s="1" customFormat="1" x14ac:dyDescent="0.3">
      <c r="I34" s="22"/>
      <c r="J34" s="22"/>
    </row>
    <row r="35" spans="9:10" s="1" customFormat="1" x14ac:dyDescent="0.3">
      <c r="I35" s="22"/>
      <c r="J35" s="22"/>
    </row>
    <row r="36" spans="9:10" s="1" customFormat="1" x14ac:dyDescent="0.3">
      <c r="I36" s="22"/>
      <c r="J36" s="22"/>
    </row>
    <row r="37" spans="9:10" s="1" customFormat="1" x14ac:dyDescent="0.3"/>
    <row r="38" spans="9:10" s="1" customFormat="1" x14ac:dyDescent="0.3"/>
    <row r="39" spans="9:10" s="1" customFormat="1" x14ac:dyDescent="0.3"/>
    <row r="40" spans="9:10" s="1" customFormat="1" x14ac:dyDescent="0.3"/>
    <row r="41" spans="9:10" s="1" customFormat="1" x14ac:dyDescent="0.3"/>
    <row r="42" spans="9:10" s="1" customFormat="1" x14ac:dyDescent="0.3"/>
    <row r="43" spans="9:10" s="1" customFormat="1" x14ac:dyDescent="0.3"/>
    <row r="44" spans="9:10" s="1" customFormat="1" x14ac:dyDescent="0.3"/>
  </sheetData>
  <protectedRanges>
    <protectedRange algorithmName="SHA-512" hashValue="pVUpCDNfPikkY1AY1GEIrtx5SRQHkULnFCbJJSwgVgYO96EnKvqYrobvU/H7DYF04L0PBrcUaOZhHLKgYHeCGg==" saltValue="JyIGTZUCRLxQyUWjemBnGA==" spinCount="100000" sqref="B7:B9 C7:C10 D7:G7 D8:F8 F9 E9:E12 G8:G10 H7:H10 I7:L8 J9:L9 L10:L12" name="Intervalo1"/>
  </protectedRanges>
  <mergeCells count="6">
    <mergeCell ref="N2:P3"/>
    <mergeCell ref="A2:A3"/>
    <mergeCell ref="B2:L3"/>
    <mergeCell ref="B5:F5"/>
    <mergeCell ref="G5:H5"/>
    <mergeCell ref="I5:L5"/>
  </mergeCells>
  <conditionalFormatting sqref="B28">
    <cfRule type="containsText" dxfId="9" priority="8" operator="containsText" text="Rec">
      <formula>NOT(ISERROR(SEARCH("Rec",B28)))</formula>
    </cfRule>
    <cfRule type="containsText" dxfId="8" priority="9" operator="containsText" text="A">
      <formula>NOT(ISERROR(SEARCH("A",B28)))</formula>
    </cfRule>
  </conditionalFormatting>
  <conditionalFormatting sqref="B28:D28">
    <cfRule type="containsText" dxfId="7" priority="2" operator="containsText" text="EF">
      <formula>NOT(ISERROR(SEARCH("EF",B28)))</formula>
    </cfRule>
    <cfRule type="containsText" dxfId="6" priority="3" operator="containsText" text="E">
      <formula>NOT(ISERROR(SEARCH("E",B28)))</formula>
    </cfRule>
  </conditionalFormatting>
  <conditionalFormatting sqref="C28:D28">
    <cfRule type="containsText" dxfId="5" priority="1" operator="containsText" text="Rec">
      <formula>NOT(ISERROR(SEARCH("Rec",C28)))</formula>
    </cfRule>
    <cfRule type="containsText" dxfId="4" priority="4" operator="containsText" text="A">
      <formula>NOT(ISERROR(SEARCH("A",C28)))</formula>
    </cfRule>
  </conditionalFormatting>
  <conditionalFormatting sqref="D7:F8 I7:L8 H7:H14 B7:C15 G7:G18 F9 K9:L9 I9:J11 D9:D12 E9:E22 K10:K14 L10:L25">
    <cfRule type="containsText" dxfId="3" priority="5" operator="containsText" text="Rec">
      <formula>NOT(ISERROR(SEARCH("Rec",B7)))</formula>
    </cfRule>
    <cfRule type="containsText" dxfId="2" priority="10" operator="containsText" text="EF">
      <formula>NOT(ISERROR(SEARCH("EF",B7)))</formula>
    </cfRule>
    <cfRule type="containsText" dxfId="1" priority="11" operator="containsText" text="E">
      <formula>NOT(ISERROR(SEARCH("E",B7)))</formula>
    </cfRule>
    <cfRule type="containsText" dxfId="0" priority="12" operator="containsText" text="A">
      <formula>NOT(ISERROR(SEARCH("A",B7)))</formula>
    </cfRule>
  </conditionalFormatting>
  <pageMargins left="0.25" right="0.25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16C585DA7D364BA8A8F87FE3AFA10D" ma:contentTypeVersion="10" ma:contentTypeDescription="Criar um novo documento." ma:contentTypeScope="" ma:versionID="82fb63ad17f75027089abd0d805d31fa">
  <xsd:schema xmlns:xsd="http://www.w3.org/2001/XMLSchema" xmlns:xs="http://www.w3.org/2001/XMLSchema" xmlns:p="http://schemas.microsoft.com/office/2006/metadata/properties" xmlns:ns2="eb9d7b98-9fde-4ad4-b7fb-82219cce945b" xmlns:ns3="7b61d586-03e2-43b2-9efb-89fefdcbb659" targetNamespace="http://schemas.microsoft.com/office/2006/metadata/properties" ma:root="true" ma:fieldsID="5c321bc5c0f7e3e7973096f06f0c2737" ns2:_="" ns3:_="">
    <xsd:import namespace="eb9d7b98-9fde-4ad4-b7fb-82219cce945b"/>
    <xsd:import namespace="7b61d586-03e2-43b2-9efb-89fefdcbb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d7b98-9fde-4ad4-b7fb-82219cce9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ea0da98-ca7a-41b4-bf46-6c1862df7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1d586-03e2-43b2-9efb-89fefdcbb6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fac9de-7fe7-4c2f-bd08-882fc5bca5f6}" ma:internalName="TaxCatchAll" ma:showField="CatchAllData" ma:web="7b61d586-03e2-43b2-9efb-89fefdcbb6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61d586-03e2-43b2-9efb-89fefdcbb659" xsi:nil="true"/>
    <lcf76f155ced4ddcb4097134ff3c332f xmlns="eb9d7b98-9fde-4ad4-b7fb-82219cce945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629BB7-C07E-4BB8-B534-7160012AC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9d7b98-9fde-4ad4-b7fb-82219cce945b"/>
    <ds:schemaRef ds:uri="7b61d586-03e2-43b2-9efb-89fefdcbb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42B693-5A64-4338-8BC5-FA0154BB88C6}">
  <ds:schemaRefs>
    <ds:schemaRef ds:uri="http://www.w3.org/XML/1998/namespace"/>
    <ds:schemaRef ds:uri="eb9d7b98-9fde-4ad4-b7fb-82219cce945b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7b61d586-03e2-43b2-9efb-89fefdcbb65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3E0CA87-63AE-4075-A034-AD0686A2F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Elisabete Vaz</dc:creator>
  <cp:keywords/>
  <dc:description/>
  <cp:lastModifiedBy>Francisco Amaral</cp:lastModifiedBy>
  <cp:revision/>
  <dcterms:created xsi:type="dcterms:W3CDTF">2026-06-05T01:01:33Z</dcterms:created>
  <dcterms:modified xsi:type="dcterms:W3CDTF">2026-06-05T10:11:39Z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0x010100B416C585DA7D364BA8A8F87FE3AFA10D</vt:lpwstr>
  </property>
  <property fmtid="{D5CDD505-2E9C-101B-9397-08002B2CF9AE}" pid="3" name="MediaServiceImageTags">
    <vt:lpwstr/>
  </property>
</Properties>
</file>